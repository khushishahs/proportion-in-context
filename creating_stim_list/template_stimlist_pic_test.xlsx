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mh1684_psych_rutgers_edu/Documents/QuadLab/ResearchProjects/Amrit/MFK/MFK3/1_Design/CreatingStimList/"/>
    </mc:Choice>
  </mc:AlternateContent>
  <xr:revisionPtr revIDLastSave="75" documentId="8_{87E8A729-9497-1045-B00E-C32072639FCD}" xr6:coauthVersionLast="47" xr6:coauthVersionMax="47" xr10:uidLastSave="{1B5BD2F9-38A8-514A-A964-5B4B65A0F1CC}"/>
  <bookViews>
    <workbookView xWindow="-2460" yWindow="-21080" windowWidth="34100" windowHeight="19440" xr2:uid="{A30CA746-9041-426C-940B-12C3FA928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" l="1"/>
  <c r="O11" i="1"/>
  <c r="O10" i="1"/>
  <c r="O9" i="1"/>
  <c r="E16" i="1" l="1"/>
  <c r="I16" i="1" s="1"/>
  <c r="F3" i="1" l="1"/>
  <c r="L3" i="1" s="1"/>
  <c r="F4" i="1"/>
  <c r="L4" i="1" s="1"/>
  <c r="F5" i="1"/>
  <c r="L5" i="1" s="1"/>
  <c r="F6" i="1"/>
  <c r="F7" i="1"/>
  <c r="L7" i="1" s="1"/>
  <c r="F8" i="1"/>
  <c r="L8" i="1" s="1"/>
  <c r="F9" i="1"/>
  <c r="L9" i="1" s="1"/>
  <c r="F10" i="1"/>
  <c r="L10" i="1" s="1"/>
  <c r="F11" i="1"/>
  <c r="L11" i="1" s="1"/>
  <c r="F12" i="1"/>
  <c r="L12" i="1" s="1"/>
  <c r="F13" i="1"/>
  <c r="L13" i="1" s="1"/>
  <c r="F14" i="1"/>
  <c r="F15" i="1"/>
  <c r="L15" i="1" s="1"/>
  <c r="F16" i="1"/>
  <c r="L16" i="1" s="1"/>
  <c r="F17" i="1"/>
  <c r="L17" i="1" s="1"/>
  <c r="E3" i="1"/>
  <c r="I3" i="1" s="1"/>
  <c r="E4" i="1"/>
  <c r="I4" i="1" s="1"/>
  <c r="E5" i="1"/>
  <c r="I5" i="1" s="1"/>
  <c r="E6" i="1"/>
  <c r="I6" i="1" s="1"/>
  <c r="E7" i="1"/>
  <c r="I7" i="1" s="1"/>
  <c r="E8" i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K16" i="1"/>
  <c r="E17" i="1"/>
  <c r="I17" i="1" s="1"/>
  <c r="F2" i="1"/>
  <c r="L2" i="1" s="1"/>
  <c r="E2" i="1"/>
  <c r="K8" i="1" l="1"/>
  <c r="I8" i="1"/>
  <c r="K2" i="1"/>
  <c r="I2" i="1"/>
  <c r="S9" i="1" s="1"/>
  <c r="Q2" i="1"/>
  <c r="G10" i="1"/>
  <c r="K15" i="1"/>
  <c r="K14" i="1"/>
  <c r="G14" i="1"/>
  <c r="G6" i="1"/>
  <c r="G12" i="1"/>
  <c r="G4" i="1"/>
  <c r="K4" i="1"/>
  <c r="G16" i="1"/>
  <c r="K12" i="1"/>
  <c r="G17" i="1"/>
  <c r="G15" i="1"/>
  <c r="K7" i="1"/>
  <c r="K5" i="1"/>
  <c r="K13" i="1"/>
  <c r="G7" i="1"/>
  <c r="K6" i="1"/>
  <c r="G13" i="1"/>
  <c r="G5" i="1"/>
  <c r="K11" i="1"/>
  <c r="K3" i="1"/>
  <c r="L14" i="1"/>
  <c r="L6" i="1"/>
  <c r="K10" i="1"/>
  <c r="G11" i="1"/>
  <c r="G3" i="1"/>
  <c r="K17" i="1"/>
  <c r="K9" i="1"/>
  <c r="G9" i="1"/>
  <c r="G8" i="1"/>
  <c r="G2" i="1"/>
  <c r="O17" i="1"/>
  <c r="O16" i="1"/>
  <c r="S10" i="1" l="1"/>
  <c r="N2" i="1"/>
  <c r="R2" i="1" a="1"/>
  <c r="R2" i="1" s="1"/>
  <c r="P2" i="1" a="1"/>
  <c r="P2" i="1" s="1"/>
  <c r="O2" i="1" a="1"/>
  <c r="O2" i="1" s="1"/>
  <c r="Q10" i="1"/>
  <c r="Q9" i="1"/>
  <c r="S2" i="1" a="1"/>
  <c r="S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<sst xmlns="http://schemas.openxmlformats.org/spreadsheetml/2006/main" count="68" uniqueCount="35">
  <si>
    <t>num_congruency</t>
  </si>
  <si>
    <t>bin</t>
  </si>
  <si>
    <t>Ratio of Numerators</t>
  </si>
  <si>
    <t>correct</t>
  </si>
  <si>
    <t>congruent</t>
  </si>
  <si>
    <t>incongruent</t>
  </si>
  <si>
    <t>Bin</t>
  </si>
  <si>
    <t>Count</t>
  </si>
  <si>
    <t>Num_congru</t>
  </si>
  <si>
    <t>right_set1</t>
  </si>
  <si>
    <t>right_set2</t>
  </si>
  <si>
    <t>left_set1</t>
  </si>
  <si>
    <t>left_set2</t>
  </si>
  <si>
    <t>left</t>
  </si>
  <si>
    <t>right</t>
  </si>
  <si>
    <t>Avg Prop Diff</t>
  </si>
  <si>
    <t>Congru Avg Prop</t>
  </si>
  <si>
    <t>Incongru Avg Prop</t>
  </si>
  <si>
    <t>num_ratio</t>
  </si>
  <si>
    <t>Congru Num Ratio</t>
  </si>
  <si>
    <t>Incongru Num Ratio</t>
  </si>
  <si>
    <t>ratio_prop</t>
  </si>
  <si>
    <t>half</t>
  </si>
  <si>
    <t>opposite</t>
  </si>
  <si>
    <t>same</t>
  </si>
  <si>
    <t>Half</t>
  </si>
  <si>
    <t>Opposite</t>
  </si>
  <si>
    <t>Same</t>
  </si>
  <si>
    <t>2_2.25</t>
  </si>
  <si>
    <t>2.5_2.75</t>
  </si>
  <si>
    <t>2.75_3</t>
  </si>
  <si>
    <t>Correct side</t>
  </si>
  <si>
    <t>2.25_2.5</t>
  </si>
  <si>
    <t>Standardized_ratio_prop</t>
  </si>
  <si>
    <t>Standardized_num_ratio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</si>
</sst>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AEBA-AEB8-4543-A4D7-970F76632365}">
  <dimension ref="A1:S22"/>
  <sheetViews>
    <sheetView tabSelected="1" workbookViewId="0">
      <selection activeCell="K19" sqref="K19"/>
    </sheetView>
  </sheetViews>
  <sheetFormatPr baseColWidth="10" defaultColWidth="8.83203125" defaultRowHeight="15" x14ac:dyDescent="0.2"/>
  <cols>
    <col min="1" max="5" width="8.83203125" style="1"/>
    <col min="6" max="6" width="12.1640625" style="1" bestFit="1" customWidth="1"/>
    <col min="7" max="7" width="14.1640625" style="1" bestFit="1" customWidth="1"/>
    <col min="8" max="10" width="8.83203125" style="1"/>
    <col min="11" max="11" width="19.33203125" style="1" customWidth="1"/>
    <col min="12" max="12" width="19.83203125" style="1" customWidth="1"/>
    <col min="13" max="13" width="10.6640625" style="1" customWidth="1"/>
    <col min="14" max="14" width="12.1640625" style="1" bestFit="1" customWidth="1"/>
    <col min="15" max="15" width="13.5" style="1" bestFit="1" customWidth="1"/>
    <col min="16" max="16" width="14.6640625" style="1" bestFit="1" customWidth="1"/>
    <col min="17" max="17" width="15.6640625" style="1" bestFit="1" customWidth="1"/>
    <col min="18" max="18" width="14.6640625" style="1" bestFit="1" customWidth="1"/>
    <col min="19" max="19" width="15.83203125" style="1" bestFit="1" customWidth="1"/>
    <col min="20" max="22" width="8.83203125" style="1"/>
    <col min="23" max="23" width="11.5" style="1" customWidth="1"/>
    <col min="24" max="16384" width="8.83203125" style="1"/>
  </cols>
  <sheetData>
    <row r="1" spans="1:19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21</v>
      </c>
      <c r="F1" s="1" t="s">
        <v>18</v>
      </c>
      <c r="G1" s="1" t="s">
        <v>0</v>
      </c>
      <c r="H1" s="1" t="s">
        <v>1</v>
      </c>
      <c r="I1" s="1" t="s">
        <v>3</v>
      </c>
      <c r="J1" s="1" t="s">
        <v>22</v>
      </c>
      <c r="K1" s="1" t="s">
        <v>33</v>
      </c>
      <c r="L1" s="1" t="s">
        <v>34</v>
      </c>
      <c r="N1" s="1" t="s">
        <v>15</v>
      </c>
      <c r="O1" s="1" t="s">
        <v>16</v>
      </c>
      <c r="P1" s="1" t="s">
        <v>17</v>
      </c>
      <c r="Q1" s="1" t="s">
        <v>2</v>
      </c>
      <c r="R1" s="1" t="s">
        <v>19</v>
      </c>
      <c r="S1" s="1" t="s">
        <v>20</v>
      </c>
    </row>
    <row r="2" spans="1:19" x14ac:dyDescent="0.2">
      <c r="A2">
        <v>6</v>
      </c>
      <c r="B2">
        <v>12</v>
      </c>
      <c r="C2">
        <v>11</v>
      </c>
      <c r="D2">
        <v>4</v>
      </c>
      <c r="E2" s="1">
        <f t="shared" ref="E2:E17" si="0">(A2/(A2+B2))/(C2/(D2+C2))</f>
        <v>0.45454545454545453</v>
      </c>
      <c r="F2" s="1">
        <f t="shared" ref="F2:F17" si="1">A2/C2</f>
        <v>0.54545454545454541</v>
      </c>
      <c r="G2" s="1" t="str">
        <f t="shared" ref="G2:G17" si="2">IF(AND(E2&gt;1,F2&gt;1),"congruent",IF(AND(E2&gt;1,F2&lt;1),"incongruent",IF(AND(E2&lt;1,F2&gt;1),"incongruent",IF(AND(E2&lt;1,F2&lt;1),"congruent",IF(F2=1,"neutral")))))</f>
        <v>congruent</v>
      </c>
      <c r="H2" t="s">
        <v>28</v>
      </c>
      <c r="I2" s="1" t="str">
        <f t="shared" ref="I2:I17" si="3">IF(E2 &lt; 1, "right", "left")</f>
        <v>right</v>
      </c>
      <c r="J2" t="s">
        <v>23</v>
      </c>
      <c r="K2" s="1">
        <f t="shared" ref="K2:K17" si="4">IF(E2&lt;1, 1/E2, E2)</f>
        <v>2.2000000000000002</v>
      </c>
      <c r="L2" s="1">
        <f t="shared" ref="L2:L17" si="5">IF(F2&lt;1, 1/F2, F2)</f>
        <v>1.8333333333333335</v>
      </c>
      <c r="N2" s="1">
        <f>AVERAGE(K2:K82)</f>
        <v>2.501574900793651</v>
      </c>
      <c r="O2" s="1" cm="1">
        <f t="array" ref="O2">AVERAGE(_xlfn._xlws.FILTER(K2:K82, (G2:G82="congruent")))</f>
        <v>2.5067708333333334</v>
      </c>
      <c r="P2" s="1" cm="1">
        <f t="array" ref="P2">AVERAGE(_xlfn._xlws.FILTER(K2:K82, (G2:G82="incongruent")))</f>
        <v>2.4963789682539681</v>
      </c>
      <c r="Q2" s="1">
        <f>AVERAGE(L2:L82)</f>
        <v>1.8197916666666667</v>
      </c>
      <c r="R2" s="1" cm="1">
        <f t="array" ref="R2">AVERAGE(_xlfn._xlws.FILTER(L2:L37, (G2:G37="congruent")))</f>
        <v>1.9</v>
      </c>
      <c r="S2" s="1" cm="1">
        <f t="array" ref="S2">AVERAGE(_xlfn._xlws.FILTER(L2:L37, (G2:G37="incongruent")))</f>
        <v>1.7395833333333335</v>
      </c>
    </row>
    <row r="3" spans="1:19" x14ac:dyDescent="0.2">
      <c r="A3">
        <v>3</v>
      </c>
      <c r="B3">
        <v>9</v>
      </c>
      <c r="C3">
        <v>2</v>
      </c>
      <c r="D3">
        <v>15</v>
      </c>
      <c r="E3" s="1">
        <f t="shared" si="0"/>
        <v>2.125</v>
      </c>
      <c r="F3" s="1">
        <f t="shared" si="1"/>
        <v>1.5</v>
      </c>
      <c r="G3" s="1" t="str">
        <f t="shared" si="2"/>
        <v>congruent</v>
      </c>
      <c r="H3" t="s">
        <v>28</v>
      </c>
      <c r="I3" s="1" t="str">
        <f t="shared" si="3"/>
        <v>left</v>
      </c>
      <c r="J3" t="s">
        <v>24</v>
      </c>
      <c r="K3" s="1">
        <f t="shared" si="4"/>
        <v>2.125</v>
      </c>
      <c r="L3" s="1">
        <f t="shared" si="5"/>
        <v>1.5</v>
      </c>
    </row>
    <row r="4" spans="1:19" x14ac:dyDescent="0.2">
      <c r="A4">
        <v>4</v>
      </c>
      <c r="B4">
        <v>3</v>
      </c>
      <c r="C4">
        <v>5</v>
      </c>
      <c r="D4">
        <v>13</v>
      </c>
      <c r="E4" s="1">
        <f t="shared" si="0"/>
        <v>2.0571428571428569</v>
      </c>
      <c r="F4" s="1">
        <f t="shared" si="1"/>
        <v>0.8</v>
      </c>
      <c r="G4" s="1" t="str">
        <f t="shared" si="2"/>
        <v>incongruent</v>
      </c>
      <c r="H4" t="s">
        <v>28</v>
      </c>
      <c r="I4" s="1" t="str">
        <f t="shared" si="3"/>
        <v>left</v>
      </c>
      <c r="J4" t="s">
        <v>23</v>
      </c>
      <c r="K4" s="1">
        <f t="shared" si="4"/>
        <v>2.0571428571428569</v>
      </c>
      <c r="L4" s="1">
        <f t="shared" si="5"/>
        <v>1.25</v>
      </c>
    </row>
    <row r="5" spans="1:19" x14ac:dyDescent="0.2">
      <c r="A5">
        <v>2</v>
      </c>
      <c r="B5">
        <v>15</v>
      </c>
      <c r="C5">
        <v>1</v>
      </c>
      <c r="D5">
        <v>3</v>
      </c>
      <c r="E5" s="1">
        <f t="shared" si="0"/>
        <v>0.47058823529411764</v>
      </c>
      <c r="F5" s="1">
        <f t="shared" si="1"/>
        <v>2</v>
      </c>
      <c r="G5" s="1" t="str">
        <f t="shared" si="2"/>
        <v>incongruent</v>
      </c>
      <c r="H5" t="s">
        <v>28</v>
      </c>
      <c r="I5" s="1" t="str">
        <f t="shared" si="3"/>
        <v>right</v>
      </c>
      <c r="J5" t="s">
        <v>24</v>
      </c>
      <c r="K5" s="1">
        <f t="shared" si="4"/>
        <v>2.125</v>
      </c>
      <c r="L5" s="1">
        <f t="shared" si="5"/>
        <v>2</v>
      </c>
    </row>
    <row r="6" spans="1:19" x14ac:dyDescent="0.2">
      <c r="A6">
        <v>6</v>
      </c>
      <c r="B6">
        <v>10</v>
      </c>
      <c r="C6">
        <v>13</v>
      </c>
      <c r="D6">
        <v>2</v>
      </c>
      <c r="E6" s="1">
        <f t="shared" si="0"/>
        <v>0.43269230769230765</v>
      </c>
      <c r="F6" s="1">
        <f t="shared" si="1"/>
        <v>0.46153846153846156</v>
      </c>
      <c r="G6" s="1" t="str">
        <f t="shared" si="2"/>
        <v>congruent</v>
      </c>
      <c r="H6" t="s">
        <v>32</v>
      </c>
      <c r="I6" s="1" t="str">
        <f t="shared" si="3"/>
        <v>right</v>
      </c>
      <c r="J6" t="s">
        <v>23</v>
      </c>
      <c r="K6" s="1">
        <f t="shared" si="4"/>
        <v>2.3111111111111113</v>
      </c>
      <c r="L6" s="1">
        <f t="shared" si="5"/>
        <v>2.1666666666666665</v>
      </c>
    </row>
    <row r="7" spans="1:19" x14ac:dyDescent="0.2">
      <c r="A7">
        <v>2</v>
      </c>
      <c r="B7">
        <v>13</v>
      </c>
      <c r="C7">
        <v>1</v>
      </c>
      <c r="D7">
        <v>17</v>
      </c>
      <c r="E7" s="1">
        <f t="shared" si="0"/>
        <v>2.4</v>
      </c>
      <c r="F7" s="1">
        <f t="shared" si="1"/>
        <v>2</v>
      </c>
      <c r="G7" s="1" t="str">
        <f t="shared" si="2"/>
        <v>congruent</v>
      </c>
      <c r="H7" t="s">
        <v>32</v>
      </c>
      <c r="I7" s="1" t="str">
        <f t="shared" si="3"/>
        <v>left</v>
      </c>
      <c r="J7" t="s">
        <v>24</v>
      </c>
      <c r="K7" s="1">
        <f t="shared" si="4"/>
        <v>2.4</v>
      </c>
      <c r="L7" s="1">
        <f t="shared" si="5"/>
        <v>2</v>
      </c>
    </row>
    <row r="8" spans="1:19" x14ac:dyDescent="0.2">
      <c r="A8">
        <v>3</v>
      </c>
      <c r="B8">
        <v>1</v>
      </c>
      <c r="C8">
        <v>5</v>
      </c>
      <c r="D8">
        <v>11</v>
      </c>
      <c r="E8" s="1">
        <f t="shared" si="0"/>
        <v>2.4</v>
      </c>
      <c r="F8" s="1">
        <f t="shared" si="1"/>
        <v>0.6</v>
      </c>
      <c r="G8" s="1" t="str">
        <f t="shared" si="2"/>
        <v>incongruent</v>
      </c>
      <c r="H8" t="s">
        <v>32</v>
      </c>
      <c r="I8" s="1" t="str">
        <f t="shared" si="3"/>
        <v>left</v>
      </c>
      <c r="J8" t="s">
        <v>23</v>
      </c>
      <c r="K8" s="1">
        <f t="shared" si="4"/>
        <v>2.4</v>
      </c>
      <c r="L8" s="1">
        <f t="shared" si="5"/>
        <v>1.6666666666666667</v>
      </c>
      <c r="N8" s="2" t="s">
        <v>6</v>
      </c>
      <c r="O8" s="2" t="s">
        <v>7</v>
      </c>
      <c r="P8" s="2" t="s">
        <v>8</v>
      </c>
      <c r="Q8" s="2" t="s">
        <v>7</v>
      </c>
      <c r="R8" s="2" t="s">
        <v>31</v>
      </c>
      <c r="S8" s="2" t="s">
        <v>7</v>
      </c>
    </row>
    <row r="9" spans="1:19" x14ac:dyDescent="0.2">
      <c r="A9">
        <v>2</v>
      </c>
      <c r="B9">
        <v>12</v>
      </c>
      <c r="C9">
        <v>1</v>
      </c>
      <c r="D9">
        <v>2</v>
      </c>
      <c r="E9" s="1">
        <f t="shared" si="0"/>
        <v>0.42857142857142855</v>
      </c>
      <c r="F9" s="1">
        <f t="shared" si="1"/>
        <v>2</v>
      </c>
      <c r="G9" s="1" t="str">
        <f t="shared" si="2"/>
        <v>incongruent</v>
      </c>
      <c r="H9" t="s">
        <v>32</v>
      </c>
      <c r="I9" s="1" t="str">
        <f t="shared" si="3"/>
        <v>right</v>
      </c>
      <c r="J9" t="s">
        <v>24</v>
      </c>
      <c r="K9" s="1">
        <f t="shared" si="4"/>
        <v>2.3333333333333335</v>
      </c>
      <c r="L9" s="1">
        <f t="shared" si="5"/>
        <v>2</v>
      </c>
      <c r="N9" s="1" t="s">
        <v>28</v>
      </c>
      <c r="O9" s="1">
        <f>COUNTIF(H2:H82, N9)</f>
        <v>4</v>
      </c>
      <c r="P9" s="1" t="s">
        <v>4</v>
      </c>
      <c r="Q9" s="1">
        <f>COUNTIF(G2:G82,P9)</f>
        <v>8</v>
      </c>
      <c r="R9" s="1" t="s">
        <v>13</v>
      </c>
      <c r="S9" s="1">
        <f>COUNTIF(I2:I82,R9)</f>
        <v>8</v>
      </c>
    </row>
    <row r="10" spans="1:19" x14ac:dyDescent="0.2">
      <c r="A10">
        <v>5</v>
      </c>
      <c r="B10">
        <v>9</v>
      </c>
      <c r="C10">
        <v>11</v>
      </c>
      <c r="D10">
        <v>1</v>
      </c>
      <c r="E10" s="1">
        <f t="shared" si="0"/>
        <v>0.38961038961038963</v>
      </c>
      <c r="F10" s="1">
        <f t="shared" si="1"/>
        <v>0.45454545454545453</v>
      </c>
      <c r="G10" s="1" t="str">
        <f t="shared" si="2"/>
        <v>congruent</v>
      </c>
      <c r="H10" t="s">
        <v>29</v>
      </c>
      <c r="I10" s="1" t="str">
        <f t="shared" si="3"/>
        <v>right</v>
      </c>
      <c r="J10" t="s">
        <v>23</v>
      </c>
      <c r="K10" s="1">
        <f t="shared" si="4"/>
        <v>2.5666666666666664</v>
      </c>
      <c r="L10" s="1">
        <f t="shared" si="5"/>
        <v>2.2000000000000002</v>
      </c>
      <c r="N10" s="1" t="s">
        <v>32</v>
      </c>
      <c r="O10" s="1">
        <f>COUNTIF(H2:H82, N10)</f>
        <v>4</v>
      </c>
      <c r="P10" s="1" t="s">
        <v>5</v>
      </c>
      <c r="Q10" s="1">
        <f>COUNTIF(G2:G82,P10)</f>
        <v>8</v>
      </c>
      <c r="R10" s="1" t="s">
        <v>14</v>
      </c>
      <c r="S10" s="1">
        <f>COUNTIF(I2:I82,R10)</f>
        <v>8</v>
      </c>
    </row>
    <row r="11" spans="1:19" x14ac:dyDescent="0.2">
      <c r="A11">
        <v>2</v>
      </c>
      <c r="B11">
        <v>6</v>
      </c>
      <c r="C11">
        <v>1</v>
      </c>
      <c r="D11">
        <v>10</v>
      </c>
      <c r="E11" s="1">
        <f t="shared" si="0"/>
        <v>2.75</v>
      </c>
      <c r="F11" s="1">
        <f t="shared" si="1"/>
        <v>2</v>
      </c>
      <c r="G11" s="1" t="str">
        <f t="shared" si="2"/>
        <v>congruent</v>
      </c>
      <c r="H11" t="s">
        <v>29</v>
      </c>
      <c r="I11" s="1" t="str">
        <f t="shared" si="3"/>
        <v>left</v>
      </c>
      <c r="J11" t="s">
        <v>24</v>
      </c>
      <c r="K11" s="1">
        <f t="shared" si="4"/>
        <v>2.75</v>
      </c>
      <c r="L11" s="1">
        <f t="shared" si="5"/>
        <v>2</v>
      </c>
      <c r="N11" s="1" t="s">
        <v>29</v>
      </c>
      <c r="O11" s="1">
        <f>COUNTIF(H3:H83, N11)</f>
        <v>4</v>
      </c>
    </row>
    <row r="12" spans="1:19" x14ac:dyDescent="0.2">
      <c r="A12">
        <v>2</v>
      </c>
      <c r="B12">
        <v>2</v>
      </c>
      <c r="C12">
        <v>3</v>
      </c>
      <c r="D12">
        <v>13</v>
      </c>
      <c r="E12" s="1">
        <f t="shared" si="0"/>
        <v>2.6666666666666665</v>
      </c>
      <c r="F12" s="1">
        <f t="shared" si="1"/>
        <v>0.66666666666666663</v>
      </c>
      <c r="G12" s="1" t="str">
        <f t="shared" si="2"/>
        <v>incongruent</v>
      </c>
      <c r="H12" t="s">
        <v>29</v>
      </c>
      <c r="I12" s="1" t="str">
        <f t="shared" si="3"/>
        <v>left</v>
      </c>
      <c r="J12" t="s">
        <v>23</v>
      </c>
      <c r="K12" s="1">
        <f t="shared" si="4"/>
        <v>2.6666666666666665</v>
      </c>
      <c r="L12" s="1">
        <f t="shared" si="5"/>
        <v>1.5</v>
      </c>
      <c r="N12" s="1" t="s">
        <v>30</v>
      </c>
      <c r="O12" s="1">
        <f>COUNTIF(H4:H84, N12)</f>
        <v>4</v>
      </c>
    </row>
    <row r="13" spans="1:19" x14ac:dyDescent="0.2">
      <c r="A13">
        <v>2</v>
      </c>
      <c r="B13">
        <v>14</v>
      </c>
      <c r="C13">
        <v>1</v>
      </c>
      <c r="D13">
        <v>2</v>
      </c>
      <c r="E13" s="1">
        <f t="shared" si="0"/>
        <v>0.375</v>
      </c>
      <c r="F13" s="1">
        <f t="shared" si="1"/>
        <v>2</v>
      </c>
      <c r="G13" s="1" t="str">
        <f t="shared" si="2"/>
        <v>incongruent</v>
      </c>
      <c r="H13" t="s">
        <v>29</v>
      </c>
      <c r="I13" s="1" t="str">
        <f t="shared" si="3"/>
        <v>right</v>
      </c>
      <c r="J13" t="s">
        <v>24</v>
      </c>
      <c r="K13" s="1">
        <f t="shared" si="4"/>
        <v>2.6666666666666665</v>
      </c>
      <c r="L13" s="1">
        <f t="shared" si="5"/>
        <v>2</v>
      </c>
    </row>
    <row r="14" spans="1:19" x14ac:dyDescent="0.2">
      <c r="A14">
        <v>6</v>
      </c>
      <c r="B14">
        <v>2</v>
      </c>
      <c r="C14">
        <v>4</v>
      </c>
      <c r="D14">
        <v>11</v>
      </c>
      <c r="E14" s="1">
        <f t="shared" si="0"/>
        <v>2.8125</v>
      </c>
      <c r="F14" s="1">
        <f t="shared" si="1"/>
        <v>1.5</v>
      </c>
      <c r="G14" s="1" t="str">
        <f t="shared" si="2"/>
        <v>congruent</v>
      </c>
      <c r="H14" t="s">
        <v>30</v>
      </c>
      <c r="I14" s="1" t="str">
        <f t="shared" si="3"/>
        <v>left</v>
      </c>
      <c r="J14" t="s">
        <v>23</v>
      </c>
      <c r="K14" s="1">
        <f t="shared" si="4"/>
        <v>2.8125</v>
      </c>
      <c r="L14" s="1">
        <f t="shared" si="5"/>
        <v>1.5</v>
      </c>
    </row>
    <row r="15" spans="1:19" x14ac:dyDescent="0.2">
      <c r="A15">
        <v>2</v>
      </c>
      <c r="B15">
        <v>11</v>
      </c>
      <c r="C15">
        <v>4</v>
      </c>
      <c r="D15">
        <v>5</v>
      </c>
      <c r="E15" s="1">
        <f t="shared" si="0"/>
        <v>0.3461538461538462</v>
      </c>
      <c r="F15" s="1">
        <f t="shared" si="1"/>
        <v>0.5</v>
      </c>
      <c r="G15" s="1" t="str">
        <f t="shared" si="2"/>
        <v>congruent</v>
      </c>
      <c r="H15" t="s">
        <v>30</v>
      </c>
      <c r="I15" s="1" t="str">
        <f t="shared" si="3"/>
        <v>right</v>
      </c>
      <c r="J15" t="s">
        <v>24</v>
      </c>
      <c r="K15" s="1">
        <f t="shared" si="4"/>
        <v>2.8888888888888884</v>
      </c>
      <c r="L15" s="1">
        <f t="shared" si="5"/>
        <v>2</v>
      </c>
      <c r="N15" s="2" t="s">
        <v>25</v>
      </c>
      <c r="O15" s="2" t="s">
        <v>7</v>
      </c>
    </row>
    <row r="16" spans="1:19" x14ac:dyDescent="0.2">
      <c r="A16">
        <v>3</v>
      </c>
      <c r="B16">
        <v>10</v>
      </c>
      <c r="C16">
        <v>2</v>
      </c>
      <c r="D16">
        <v>1</v>
      </c>
      <c r="E16" s="1">
        <f>(A16/(A16+B16))/(C16/(D16+C16))</f>
        <v>0.3461538461538462</v>
      </c>
      <c r="F16" s="1">
        <f>A16/C16</f>
        <v>1.5</v>
      </c>
      <c r="G16" s="1" t="str">
        <f t="shared" si="2"/>
        <v>incongruent</v>
      </c>
      <c r="H16" t="s">
        <v>30</v>
      </c>
      <c r="I16" s="1" t="str">
        <f t="shared" si="3"/>
        <v>right</v>
      </c>
      <c r="J16" t="s">
        <v>23</v>
      </c>
      <c r="K16" s="1">
        <f t="shared" si="4"/>
        <v>2.8888888888888884</v>
      </c>
      <c r="L16" s="1">
        <f t="shared" si="5"/>
        <v>1.5</v>
      </c>
      <c r="N16" s="1" t="s">
        <v>26</v>
      </c>
      <c r="O16" s="1">
        <f>COUNTIF(J2:J82,N16)</f>
        <v>8</v>
      </c>
    </row>
    <row r="17" spans="1:15" x14ac:dyDescent="0.2">
      <c r="A17">
        <v>1</v>
      </c>
      <c r="B17">
        <v>2</v>
      </c>
      <c r="C17">
        <v>2</v>
      </c>
      <c r="D17">
        <v>15</v>
      </c>
      <c r="E17" s="1">
        <f t="shared" si="0"/>
        <v>2.833333333333333</v>
      </c>
      <c r="F17" s="1">
        <f t="shared" si="1"/>
        <v>0.5</v>
      </c>
      <c r="G17" s="1" t="str">
        <f t="shared" si="2"/>
        <v>incongruent</v>
      </c>
      <c r="H17" t="s">
        <v>30</v>
      </c>
      <c r="I17" s="1" t="str">
        <f t="shared" si="3"/>
        <v>left</v>
      </c>
      <c r="J17" t="s">
        <v>24</v>
      </c>
      <c r="K17" s="1">
        <f t="shared" si="4"/>
        <v>2.833333333333333</v>
      </c>
      <c r="L17" s="1">
        <f t="shared" si="5"/>
        <v>2</v>
      </c>
      <c r="N17" s="1" t="s">
        <v>27</v>
      </c>
      <c r="O17" s="1">
        <f>COUNTIF(J2:J82,N17)</f>
        <v>8</v>
      </c>
    </row>
    <row r="22" spans="1:15" x14ac:dyDescent="0.2">
      <c r="H22"/>
      <c r="I22"/>
      <c r="J22"/>
      <c r="K22"/>
    </row>
  </sheetData>
  <sortState xmlns:xlrd2="http://schemas.microsoft.com/office/spreadsheetml/2017/richdata2" ref="A2:L82">
    <sortCondition descending="1" ref="L2:L82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Rutgers University - School of Arts and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 Dadika</dc:creator>
  <cp:lastModifiedBy>Amritpal Singh</cp:lastModifiedBy>
  <dcterms:created xsi:type="dcterms:W3CDTF">2025-04-25T13:12:54Z</dcterms:created>
  <dcterms:modified xsi:type="dcterms:W3CDTF">2025-12-16T15:05:20Z</dcterms:modified>
</cp:coreProperties>
</file>